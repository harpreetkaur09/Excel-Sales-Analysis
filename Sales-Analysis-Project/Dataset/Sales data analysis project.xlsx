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6" i="1"/>
  <c r="H5" i="1"/>
  <c r="H4" i="1"/>
  <c r="H3" i="1"/>
</calcChain>
</file>

<file path=xl/sharedStrings.xml><?xml version="1.0" encoding="utf-8"?>
<sst xmlns="http://schemas.openxmlformats.org/spreadsheetml/2006/main" count="117" uniqueCount="20">
  <si>
    <t>Order ID</t>
  </si>
  <si>
    <t>Date</t>
  </si>
  <si>
    <t>Product</t>
  </si>
  <si>
    <t>Region</t>
  </si>
  <si>
    <t>Sales</t>
  </si>
  <si>
    <t>Laptop</t>
  </si>
  <si>
    <t>North</t>
  </si>
  <si>
    <t>Mouse</t>
  </si>
  <si>
    <t>South</t>
  </si>
  <si>
    <t>Keyboard</t>
  </si>
  <si>
    <t>East</t>
  </si>
  <si>
    <t>West</t>
  </si>
  <si>
    <t>Monitor</t>
  </si>
  <si>
    <t>Key metrics</t>
  </si>
  <si>
    <t>Total Sales</t>
  </si>
  <si>
    <t>Average Sales</t>
  </si>
  <si>
    <t xml:space="preserve">   Result</t>
  </si>
  <si>
    <t>Total Orders</t>
  </si>
  <si>
    <t>Laptop Sold</t>
  </si>
  <si>
    <t xml:space="preserve">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</si>
</sst>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29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Product Wise Sales Analysis</a:t>
            </a:r>
            <a:endParaRPr lang="en-US" b="1" i="0" u="non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Sheet1!$G$9:$G$12</c:f>
              <c:strCache>
                <c:ptCount val="4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</c:strCache>
            </c:strRef>
          </c:cat>
          <c:val>
            <c:numRef>
              <c:f>Sheet1!$H$9:$H$12</c:f>
              <c:numCache>
                <c:formatCode>General</c:formatCode>
                <c:ptCount val="4"/>
                <c:pt idx="0">
                  <c:v>250000</c:v>
                </c:pt>
                <c:pt idx="1">
                  <c:v>4000</c:v>
                </c:pt>
                <c:pt idx="2">
                  <c:v>6000</c:v>
                </c:pt>
                <c:pt idx="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0-47D9-B4E0-88224A69E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704528"/>
        <c:axId val="1520101728"/>
      </c:barChart>
      <c:catAx>
        <c:axId val="149570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101728"/>
        <c:crosses val="autoZero"/>
        <c:auto val="1"/>
        <c:lblAlgn val="ctr"/>
        <c:lblOffset val="100"/>
        <c:noMultiLvlLbl val="0"/>
      </c:catAx>
      <c:valAx>
        <c:axId val="152010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0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498534</xdr:colOff>
      <xdr:row>1</xdr:row>
      <xdr:rowOff>12835</xdr:rowOff>
    </xdr:from>
    <xdr:to>
      <xdr:col>16</xdr:col>
      <xdr:colOff>26973</xdr:colOff>
      <xdr:row>15</xdr:row>
      <xdr:rowOff>181261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E16" totalsRowShown="0" headerRowDxfId="28" headerRowBorderDxfId="27" tableBorderDxfId="26" totalsRowBorderDxfId="25">
  <autoFilter ref="A1:E16"/>
  <tableColumns count="5">
    <tableColumn id="1" name="Order ID" dataDxfId="24"/>
    <tableColumn id="2" name="Date" dataDxfId="23"/>
    <tableColumn id="3" name="Product" dataDxfId="22"/>
    <tableColumn id="4" name="Region" dataDxfId="21"/>
    <tableColumn id="5" name="Sale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2:H6" totalsRowShown="0" headerRowDxfId="19">
  <autoFilter ref="G2:H6"/>
  <tableColumns count="2">
    <tableColumn id="1" name="Key metrics"/>
    <tableColumn id="2" name="   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G8:H12" totalsRowShown="0" headerRowDxfId="18">
  <autoFilter ref="G8:H12"/>
  <tableColumns count="2">
    <tableColumn id="1" name="Product "/>
    <tableColumn id="2" name="Total 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2:E37" totalsRowShown="0" headerRowDxfId="17" headerRowBorderDxfId="16" tableBorderDxfId="15" totalsRowBorderDxfId="14">
  <autoFilter ref="A22:E37"/>
  <tableColumns count="5">
    <tableColumn id="1" name="Order ID" dataDxfId="13"/>
    <tableColumn id="2" name="Date" dataDxfId="12"/>
    <tableColumn id="3" name="Product" dataDxfId="11"/>
    <tableColumn id="4" name="Region" dataDxfId="10"/>
    <tableColumn id="5" name="Sales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G22:K37" totalsRowShown="0" headerRowDxfId="8" headerRowBorderDxfId="7" tableBorderDxfId="6" totalsRowBorderDxfId="5">
  <autoFilter ref="G22:K37"/>
  <tableColumns count="5">
    <tableColumn id="1" name="Order ID" dataDxfId="4"/>
    <tableColumn id="2" name="Date" dataDxfId="3"/>
    <tableColumn id="3" name="Product" dataDxfId="2"/>
    <tableColumn id="4" name="Region" dataDxfId="1"/>
    <tableColumn id="5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zoomScale="79" zoomScaleNormal="79" workbookViewId="0">
      <selection activeCell="E5" sqref="E5"/>
    </sheetView>
  </sheetViews>
  <sheetFormatPr defaultRowHeight="14.4" x14ac:dyDescent="0.3"/>
  <cols>
    <col min="1" max="1" width="9.33203125" customWidth="1"/>
    <col min="2" max="2" width="10.6640625" bestFit="1" customWidth="1"/>
    <col min="7" max="7" width="12.109375" customWidth="1"/>
    <col min="8" max="8" width="11.109375" customWidth="1"/>
    <col min="10" max="10" width="9.33203125" customWidth="1"/>
    <col min="11" max="11" width="10.6640625" bestFit="1" customWidth="1"/>
    <col min="16" max="16" width="9.33203125" customWidth="1"/>
    <col min="17" max="17" width="10.6640625" bestFit="1" customWidth="1"/>
  </cols>
  <sheetData>
    <row r="1" spans="1:8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8" x14ac:dyDescent="0.3">
      <c r="A2" s="3">
        <v>1001</v>
      </c>
      <c r="B2" s="2">
        <v>46023</v>
      </c>
      <c r="C2" s="1" t="s">
        <v>5</v>
      </c>
      <c r="D2" s="1" t="s">
        <v>6</v>
      </c>
      <c r="E2" s="4">
        <v>50000</v>
      </c>
      <c r="G2" s="12" t="s">
        <v>13</v>
      </c>
      <c r="H2" s="12" t="s">
        <v>16</v>
      </c>
    </row>
    <row r="3" spans="1:8" x14ac:dyDescent="0.3">
      <c r="A3" s="3">
        <v>1002</v>
      </c>
      <c r="B3" s="2">
        <v>46024</v>
      </c>
      <c r="C3" s="1" t="s">
        <v>7</v>
      </c>
      <c r="D3" s="1" t="s">
        <v>8</v>
      </c>
      <c r="E3" s="4">
        <v>1000</v>
      </c>
      <c r="G3" t="s">
        <v>14</v>
      </c>
      <c r="H3">
        <f>SUM(Table1[Sales])</f>
        <v>296000</v>
      </c>
    </row>
    <row r="4" spans="1:8" x14ac:dyDescent="0.3">
      <c r="A4" s="3">
        <v>1003</v>
      </c>
      <c r="B4" s="2">
        <v>46025</v>
      </c>
      <c r="C4" s="1" t="s">
        <v>9</v>
      </c>
      <c r="D4" s="1" t="s">
        <v>10</v>
      </c>
      <c r="E4" s="4">
        <v>2000</v>
      </c>
      <c r="G4" t="s">
        <v>15</v>
      </c>
      <c r="H4">
        <f>AVERAGE(Table1[Sales])</f>
        <v>19733.333333333332</v>
      </c>
    </row>
    <row r="5" spans="1:8" x14ac:dyDescent="0.3">
      <c r="A5" s="3">
        <v>1004</v>
      </c>
      <c r="B5" s="2">
        <v>46026</v>
      </c>
      <c r="C5" s="1" t="s">
        <v>5</v>
      </c>
      <c r="D5" s="1" t="s">
        <v>11</v>
      </c>
      <c r="E5" s="4">
        <v>50000</v>
      </c>
      <c r="G5" t="s">
        <v>17</v>
      </c>
      <c r="H5">
        <f>COUNT(Table1[Sales])</f>
        <v>15</v>
      </c>
    </row>
    <row r="6" spans="1:8" x14ac:dyDescent="0.3">
      <c r="A6" s="3">
        <v>1005</v>
      </c>
      <c r="B6" s="2">
        <v>46027</v>
      </c>
      <c r="C6" s="1" t="s">
        <v>12</v>
      </c>
      <c r="D6" s="1" t="s">
        <v>6</v>
      </c>
      <c r="E6" s="4">
        <v>12000</v>
      </c>
      <c r="G6" t="s">
        <v>18</v>
      </c>
      <c r="H6">
        <f>COUNTIF(Table1[Product],"Laptop")</f>
        <v>5</v>
      </c>
    </row>
    <row r="7" spans="1:8" x14ac:dyDescent="0.3">
      <c r="A7" s="3">
        <v>1006</v>
      </c>
      <c r="B7" s="2">
        <v>46028</v>
      </c>
      <c r="C7" s="1" t="s">
        <v>7</v>
      </c>
      <c r="D7" s="1" t="s">
        <v>8</v>
      </c>
      <c r="E7" s="4">
        <v>1000</v>
      </c>
    </row>
    <row r="8" spans="1:8" x14ac:dyDescent="0.3">
      <c r="A8" s="3">
        <v>1007</v>
      </c>
      <c r="B8" s="2">
        <v>46029</v>
      </c>
      <c r="C8" s="1" t="s">
        <v>9</v>
      </c>
      <c r="D8" s="1" t="s">
        <v>10</v>
      </c>
      <c r="E8" s="4">
        <v>2000</v>
      </c>
      <c r="G8" s="12" t="s">
        <v>19</v>
      </c>
      <c r="H8" s="12" t="s">
        <v>14</v>
      </c>
    </row>
    <row r="9" spans="1:8" x14ac:dyDescent="0.3">
      <c r="A9" s="3">
        <v>1008</v>
      </c>
      <c r="B9" s="2">
        <v>46030</v>
      </c>
      <c r="C9" s="1" t="s">
        <v>5</v>
      </c>
      <c r="D9" s="1" t="s">
        <v>6</v>
      </c>
      <c r="E9" s="4">
        <v>50000</v>
      </c>
      <c r="G9" t="s">
        <v>5</v>
      </c>
      <c r="H9">
        <f>SUMIF(C2:C16,"Laptop",E2:E16)</f>
        <v>250000</v>
      </c>
    </row>
    <row r="10" spans="1:8" x14ac:dyDescent="0.3">
      <c r="A10" s="3">
        <v>1009</v>
      </c>
      <c r="B10" s="2">
        <v>46031</v>
      </c>
      <c r="C10" s="1" t="s">
        <v>12</v>
      </c>
      <c r="D10" s="1" t="s">
        <v>11</v>
      </c>
      <c r="E10" s="4">
        <v>12000</v>
      </c>
      <c r="G10" t="s">
        <v>7</v>
      </c>
      <c r="H10">
        <f>SUMIF(C2:C16,"Mouse",E2:E16)</f>
        <v>4000</v>
      </c>
    </row>
    <row r="11" spans="1:8" x14ac:dyDescent="0.3">
      <c r="A11" s="3">
        <v>1010</v>
      </c>
      <c r="B11" s="2">
        <v>46032</v>
      </c>
      <c r="C11" s="1" t="s">
        <v>7</v>
      </c>
      <c r="D11" s="1" t="s">
        <v>8</v>
      </c>
      <c r="E11" s="4">
        <v>1000</v>
      </c>
      <c r="G11" t="s">
        <v>9</v>
      </c>
      <c r="H11">
        <f>SUMIF(C2:C16,"Keyboard",E2:E16)</f>
        <v>6000</v>
      </c>
    </row>
    <row r="12" spans="1:8" x14ac:dyDescent="0.3">
      <c r="A12" s="3">
        <v>1011</v>
      </c>
      <c r="B12" s="2">
        <v>46033</v>
      </c>
      <c r="C12" s="1" t="s">
        <v>5</v>
      </c>
      <c r="D12" s="1" t="s">
        <v>10</v>
      </c>
      <c r="E12" s="4">
        <v>50000</v>
      </c>
      <c r="G12" t="s">
        <v>12</v>
      </c>
      <c r="H12">
        <f>SUMIF(C2:C16,"Monitor",E2:E16)</f>
        <v>36000</v>
      </c>
    </row>
    <row r="13" spans="1:8" x14ac:dyDescent="0.3">
      <c r="A13" s="3">
        <v>1012</v>
      </c>
      <c r="B13" s="2">
        <v>46034</v>
      </c>
      <c r="C13" s="1" t="s">
        <v>12</v>
      </c>
      <c r="D13" s="1" t="s">
        <v>6</v>
      </c>
      <c r="E13" s="4">
        <v>12000</v>
      </c>
    </row>
    <row r="14" spans="1:8" x14ac:dyDescent="0.3">
      <c r="A14" s="3">
        <v>1013</v>
      </c>
      <c r="B14" s="2">
        <v>46035</v>
      </c>
      <c r="C14" s="1" t="s">
        <v>9</v>
      </c>
      <c r="D14" s="1" t="s">
        <v>11</v>
      </c>
      <c r="E14" s="4">
        <v>2000</v>
      </c>
    </row>
    <row r="15" spans="1:8" x14ac:dyDescent="0.3">
      <c r="A15" s="3">
        <v>1014</v>
      </c>
      <c r="B15" s="2">
        <v>46036</v>
      </c>
      <c r="C15" s="1" t="s">
        <v>7</v>
      </c>
      <c r="D15" s="1" t="s">
        <v>10</v>
      </c>
      <c r="E15" s="4">
        <v>1000</v>
      </c>
    </row>
    <row r="16" spans="1:8" x14ac:dyDescent="0.3">
      <c r="A16" s="8">
        <v>1015</v>
      </c>
      <c r="B16" s="9">
        <v>46037</v>
      </c>
      <c r="C16" s="10" t="s">
        <v>5</v>
      </c>
      <c r="D16" s="10" t="s">
        <v>8</v>
      </c>
      <c r="E16" s="11">
        <v>50000</v>
      </c>
    </row>
    <row r="22" spans="1:11" x14ac:dyDescent="0.3">
      <c r="A22" s="5" t="s">
        <v>0</v>
      </c>
      <c r="B22" s="6" t="s">
        <v>1</v>
      </c>
      <c r="C22" s="6" t="s">
        <v>2</v>
      </c>
      <c r="D22" s="6" t="s">
        <v>3</v>
      </c>
      <c r="E22" s="7" t="s">
        <v>4</v>
      </c>
      <c r="G22" s="5" t="s">
        <v>0</v>
      </c>
      <c r="H22" s="6" t="s">
        <v>1</v>
      </c>
      <c r="I22" s="6" t="s">
        <v>2</v>
      </c>
      <c r="J22" s="6" t="s">
        <v>3</v>
      </c>
      <c r="K22" s="7" t="s">
        <v>4</v>
      </c>
    </row>
    <row r="23" spans="1:11" x14ac:dyDescent="0.3">
      <c r="A23" s="3">
        <v>1001</v>
      </c>
      <c r="B23" s="2">
        <v>46023</v>
      </c>
      <c r="C23" s="1" t="s">
        <v>5</v>
      </c>
      <c r="D23" s="1" t="s">
        <v>6</v>
      </c>
      <c r="E23" s="4">
        <v>50000</v>
      </c>
      <c r="G23" s="3">
        <v>1001</v>
      </c>
      <c r="H23" s="2">
        <v>46023</v>
      </c>
      <c r="I23" s="1" t="s">
        <v>5</v>
      </c>
      <c r="J23" s="1" t="s">
        <v>6</v>
      </c>
      <c r="K23" s="4">
        <v>50000</v>
      </c>
    </row>
    <row r="24" spans="1:11" x14ac:dyDescent="0.3">
      <c r="A24" s="3">
        <v>1004</v>
      </c>
      <c r="B24" s="2">
        <v>46026</v>
      </c>
      <c r="C24" s="1" t="s">
        <v>5</v>
      </c>
      <c r="D24" s="1" t="s">
        <v>11</v>
      </c>
      <c r="E24" s="4">
        <v>50000</v>
      </c>
      <c r="G24" s="3">
        <v>1002</v>
      </c>
      <c r="H24" s="2">
        <v>46024</v>
      </c>
      <c r="I24" s="1" t="s">
        <v>7</v>
      </c>
      <c r="J24" s="1" t="s">
        <v>8</v>
      </c>
      <c r="K24" s="4">
        <v>1000</v>
      </c>
    </row>
    <row r="25" spans="1:11" x14ac:dyDescent="0.3">
      <c r="A25" s="3">
        <v>1008</v>
      </c>
      <c r="B25" s="2">
        <v>46030</v>
      </c>
      <c r="C25" s="1" t="s">
        <v>5</v>
      </c>
      <c r="D25" s="1" t="s">
        <v>6</v>
      </c>
      <c r="E25" s="4">
        <v>50000</v>
      </c>
      <c r="G25" s="3">
        <v>1003</v>
      </c>
      <c r="H25" s="2">
        <v>46025</v>
      </c>
      <c r="I25" s="1" t="s">
        <v>9</v>
      </c>
      <c r="J25" s="1" t="s">
        <v>10</v>
      </c>
      <c r="K25" s="4">
        <v>2000</v>
      </c>
    </row>
    <row r="26" spans="1:11" x14ac:dyDescent="0.3">
      <c r="A26" s="3">
        <v>1011</v>
      </c>
      <c r="B26" s="2">
        <v>46033</v>
      </c>
      <c r="C26" s="1" t="s">
        <v>5</v>
      </c>
      <c r="D26" s="1" t="s">
        <v>10</v>
      </c>
      <c r="E26" s="4">
        <v>50000</v>
      </c>
      <c r="G26" s="3">
        <v>1004</v>
      </c>
      <c r="H26" s="2">
        <v>46026</v>
      </c>
      <c r="I26" s="1" t="s">
        <v>5</v>
      </c>
      <c r="J26" s="1" t="s">
        <v>11</v>
      </c>
      <c r="K26" s="4">
        <v>50000</v>
      </c>
    </row>
    <row r="27" spans="1:11" x14ac:dyDescent="0.3">
      <c r="A27" s="3">
        <v>1015</v>
      </c>
      <c r="B27" s="2">
        <v>46037</v>
      </c>
      <c r="C27" s="1" t="s">
        <v>5</v>
      </c>
      <c r="D27" s="1" t="s">
        <v>8</v>
      </c>
      <c r="E27" s="4">
        <v>50000</v>
      </c>
      <c r="G27" s="3">
        <v>1005</v>
      </c>
      <c r="H27" s="2">
        <v>46027</v>
      </c>
      <c r="I27" s="1" t="s">
        <v>12</v>
      </c>
      <c r="J27" s="1" t="s">
        <v>6</v>
      </c>
      <c r="K27" s="4">
        <v>12000</v>
      </c>
    </row>
    <row r="28" spans="1:11" x14ac:dyDescent="0.3">
      <c r="A28" s="3">
        <v>1005</v>
      </c>
      <c r="B28" s="2">
        <v>46027</v>
      </c>
      <c r="C28" s="1" t="s">
        <v>12</v>
      </c>
      <c r="D28" s="1" t="s">
        <v>6</v>
      </c>
      <c r="E28" s="4">
        <v>12000</v>
      </c>
      <c r="G28" s="3">
        <v>1006</v>
      </c>
      <c r="H28" s="2">
        <v>46028</v>
      </c>
      <c r="I28" s="1" t="s">
        <v>7</v>
      </c>
      <c r="J28" s="1" t="s">
        <v>8</v>
      </c>
      <c r="K28" s="4">
        <v>1000</v>
      </c>
    </row>
    <row r="29" spans="1:11" x14ac:dyDescent="0.3">
      <c r="A29" s="3">
        <v>1009</v>
      </c>
      <c r="B29" s="2">
        <v>46031</v>
      </c>
      <c r="C29" s="1" t="s">
        <v>12</v>
      </c>
      <c r="D29" s="1" t="s">
        <v>11</v>
      </c>
      <c r="E29" s="4">
        <v>12000</v>
      </c>
      <c r="G29" s="3">
        <v>1007</v>
      </c>
      <c r="H29" s="2">
        <v>46029</v>
      </c>
      <c r="I29" s="1" t="s">
        <v>9</v>
      </c>
      <c r="J29" s="1" t="s">
        <v>10</v>
      </c>
      <c r="K29" s="4">
        <v>2000</v>
      </c>
    </row>
    <row r="30" spans="1:11" x14ac:dyDescent="0.3">
      <c r="A30" s="3">
        <v>1012</v>
      </c>
      <c r="B30" s="2">
        <v>46034</v>
      </c>
      <c r="C30" s="1" t="s">
        <v>12</v>
      </c>
      <c r="D30" s="1" t="s">
        <v>6</v>
      </c>
      <c r="E30" s="4">
        <v>12000</v>
      </c>
      <c r="G30" s="3">
        <v>1008</v>
      </c>
      <c r="H30" s="2">
        <v>46030</v>
      </c>
      <c r="I30" s="1" t="s">
        <v>5</v>
      </c>
      <c r="J30" s="1" t="s">
        <v>6</v>
      </c>
      <c r="K30" s="4">
        <v>50000</v>
      </c>
    </row>
    <row r="31" spans="1:11" x14ac:dyDescent="0.3">
      <c r="A31" s="3">
        <v>1003</v>
      </c>
      <c r="B31" s="2">
        <v>46025</v>
      </c>
      <c r="C31" s="1" t="s">
        <v>9</v>
      </c>
      <c r="D31" s="1" t="s">
        <v>10</v>
      </c>
      <c r="E31" s="4">
        <v>2000</v>
      </c>
      <c r="G31" s="3">
        <v>1009</v>
      </c>
      <c r="H31" s="2">
        <v>46031</v>
      </c>
      <c r="I31" s="1" t="s">
        <v>12</v>
      </c>
      <c r="J31" s="1" t="s">
        <v>11</v>
      </c>
      <c r="K31" s="4">
        <v>12000</v>
      </c>
    </row>
    <row r="32" spans="1:11" x14ac:dyDescent="0.3">
      <c r="A32" s="3">
        <v>1007</v>
      </c>
      <c r="B32" s="2">
        <v>46029</v>
      </c>
      <c r="C32" s="1" t="s">
        <v>9</v>
      </c>
      <c r="D32" s="1" t="s">
        <v>10</v>
      </c>
      <c r="E32" s="4">
        <v>2000</v>
      </c>
      <c r="G32" s="3">
        <v>1010</v>
      </c>
      <c r="H32" s="2">
        <v>46032</v>
      </c>
      <c r="I32" s="1" t="s">
        <v>7</v>
      </c>
      <c r="J32" s="1" t="s">
        <v>8</v>
      </c>
      <c r="K32" s="4">
        <v>1000</v>
      </c>
    </row>
    <row r="33" spans="1:11" x14ac:dyDescent="0.3">
      <c r="A33" s="3">
        <v>1013</v>
      </c>
      <c r="B33" s="2">
        <v>46035</v>
      </c>
      <c r="C33" s="1" t="s">
        <v>9</v>
      </c>
      <c r="D33" s="1" t="s">
        <v>11</v>
      </c>
      <c r="E33" s="4">
        <v>2000</v>
      </c>
      <c r="G33" s="3">
        <v>1011</v>
      </c>
      <c r="H33" s="2">
        <v>46033</v>
      </c>
      <c r="I33" s="1" t="s">
        <v>5</v>
      </c>
      <c r="J33" s="1" t="s">
        <v>10</v>
      </c>
      <c r="K33" s="4">
        <v>50000</v>
      </c>
    </row>
    <row r="34" spans="1:11" x14ac:dyDescent="0.3">
      <c r="A34" s="3">
        <v>1002</v>
      </c>
      <c r="B34" s="2">
        <v>46024</v>
      </c>
      <c r="C34" s="1" t="s">
        <v>7</v>
      </c>
      <c r="D34" s="1" t="s">
        <v>8</v>
      </c>
      <c r="E34" s="4">
        <v>1000</v>
      </c>
      <c r="G34" s="3">
        <v>1012</v>
      </c>
      <c r="H34" s="2">
        <v>46034</v>
      </c>
      <c r="I34" s="1" t="s">
        <v>12</v>
      </c>
      <c r="J34" s="1" t="s">
        <v>6</v>
      </c>
      <c r="K34" s="4">
        <v>12000</v>
      </c>
    </row>
    <row r="35" spans="1:11" x14ac:dyDescent="0.3">
      <c r="A35" s="3">
        <v>1006</v>
      </c>
      <c r="B35" s="2">
        <v>46028</v>
      </c>
      <c r="C35" s="1" t="s">
        <v>7</v>
      </c>
      <c r="D35" s="1" t="s">
        <v>8</v>
      </c>
      <c r="E35" s="4">
        <v>1000</v>
      </c>
      <c r="G35" s="3">
        <v>1013</v>
      </c>
      <c r="H35" s="2">
        <v>46035</v>
      </c>
      <c r="I35" s="1" t="s">
        <v>9</v>
      </c>
      <c r="J35" s="1" t="s">
        <v>11</v>
      </c>
      <c r="K35" s="4">
        <v>2000</v>
      </c>
    </row>
    <row r="36" spans="1:11" x14ac:dyDescent="0.3">
      <c r="A36" s="3">
        <v>1010</v>
      </c>
      <c r="B36" s="2">
        <v>46032</v>
      </c>
      <c r="C36" s="1" t="s">
        <v>7</v>
      </c>
      <c r="D36" s="1" t="s">
        <v>8</v>
      </c>
      <c r="E36" s="4">
        <v>1000</v>
      </c>
      <c r="G36" s="3">
        <v>1014</v>
      </c>
      <c r="H36" s="2">
        <v>46036</v>
      </c>
      <c r="I36" s="1" t="s">
        <v>7</v>
      </c>
      <c r="J36" s="1" t="s">
        <v>10</v>
      </c>
      <c r="K36" s="4">
        <v>1000</v>
      </c>
    </row>
    <row r="37" spans="1:11" x14ac:dyDescent="0.3">
      <c r="A37" s="8">
        <v>1014</v>
      </c>
      <c r="B37" s="9">
        <v>46036</v>
      </c>
      <c r="C37" s="10" t="s">
        <v>7</v>
      </c>
      <c r="D37" s="10" t="s">
        <v>10</v>
      </c>
      <c r="E37" s="11">
        <v>1000</v>
      </c>
      <c r="G37" s="8">
        <v>1015</v>
      </c>
      <c r="H37" s="9">
        <v>46037</v>
      </c>
      <c r="I37" s="10" t="s">
        <v>5</v>
      </c>
      <c r="J37" s="10" t="s">
        <v>8</v>
      </c>
      <c r="K37" s="11">
        <v>50000</v>
      </c>
    </row>
  </sheetData>
  <sortState ref="A23:E37">
    <sortCondition descending="1" ref="E3:E17"/>
  </sortState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2026-06-20T08:53:05Z</dcterms:created>
  <dcterms:modified xsi:type="dcterms:W3CDTF">2026-07-01T05:32:45Z</dcterms:modified>
</cp:coreProperties>
</file>